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765A478227D76D54/Documents/"/>
    </mc:Choice>
  </mc:AlternateContent>
  <xr:revisionPtr revIDLastSave="0" documentId="8_{304D5F6E-0657-4684-B859-4C9C05B7339A}" xr6:coauthVersionLast="47" xr6:coauthVersionMax="47" xr10:uidLastSave="{00000000-0000-0000-0000-000000000000}"/>
  <bookViews>
    <workbookView xWindow="-110" yWindow="-110" windowWidth="19420" windowHeight="11500" tabRatio="500" activeTab="2" xr2:uid="{00000000-000D-0000-FFFF-FFFF00000000}"/>
  </bookViews>
  <sheets>
    <sheet name="Read Me" sheetId="1" r:id="rId1"/>
    <sheet name="Team" sheetId="2" r:id="rId2"/>
    <sheet name="Data" sheetId="3" r:id="rId3"/>
    <sheet name="Chart counts" sheetId="4" r:id="rId4"/>
    <sheet name="Vocabulari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7" i="4" l="1"/>
  <c r="B36" i="4"/>
  <c r="B35" i="4"/>
  <c r="B34" i="4"/>
  <c r="B33" i="4"/>
  <c r="B30" i="4"/>
  <c r="B29" i="4"/>
  <c r="B28" i="4"/>
  <c r="B27" i="4"/>
  <c r="B26" i="4"/>
  <c r="B23" i="4"/>
  <c r="B22" i="4"/>
  <c r="B21" i="4"/>
  <c r="B20" i="4"/>
  <c r="B19" i="4"/>
  <c r="B16" i="4"/>
  <c r="B15" i="4"/>
  <c r="B14" i="4"/>
  <c r="B13" i="4"/>
  <c r="B10" i="4"/>
  <c r="B9" i="4"/>
  <c r="B8" i="4"/>
  <c r="B7" i="4"/>
  <c r="B6" i="4"/>
  <c r="B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O6" authorId="0" shapeId="0" xr:uid="{00000000-0006-0000-0200-000004000000}">
      <text>
        <r>
          <rPr>
            <sz val="10"/>
            <rFont val="Arial"/>
            <family val="2"/>
          </rPr>
          <t>Official court copy (sci.gov.in).</t>
        </r>
      </text>
    </comment>
    <comment ref="O7" authorId="0" shapeId="0" xr:uid="{00000000-0006-0000-0200-000005000000}">
      <text>
        <r>
          <rPr>
            <sz val="10"/>
            <rFont val="Arial"/>
            <family val="2"/>
          </rPr>
          <t>Not the court's own copy: replace with the sci.gov.in or e-SCR link if your guide requires it.</t>
        </r>
      </text>
    </comment>
    <comment ref="O8" authorId="0" shapeId="0" xr:uid="{00000000-0006-0000-0200-000006000000}">
      <text>
        <r>
          <rPr>
            <sz val="10"/>
            <rFont val="Arial"/>
            <family val="2"/>
          </rPr>
          <t>Not the court's own copy: replace with the sci.gov.in or e-SCR link if your guide requires it.</t>
        </r>
      </text>
    </comment>
    <comment ref="O9" authorId="0" shapeId="0" xr:uid="{00000000-0006-0000-0200-000007000000}">
      <text>
        <r>
          <rPr>
            <sz val="10"/>
            <rFont val="Arial"/>
            <family val="2"/>
          </rPr>
          <t>Not the court's own copy: replace with the sci.gov.in or e-SCR link if your guide requires it.</t>
        </r>
      </text>
    </comment>
    <comment ref="O10" authorId="0" shapeId="0" xr:uid="{00000000-0006-0000-0200-000008000000}">
      <text>
        <r>
          <rPr>
            <sz val="10"/>
            <rFont val="Arial"/>
            <family val="2"/>
          </rPr>
          <t>Not the court's own copy: replace with the sci.gov.in or e-SCR link if your guide requires it.</t>
        </r>
      </text>
    </comment>
    <comment ref="O11" authorId="0" shapeId="0" xr:uid="{00000000-0006-0000-0200-000009000000}">
      <text>
        <r>
          <rPr>
            <sz val="10"/>
            <rFont val="Arial"/>
            <family val="2"/>
          </rPr>
          <t>Not the court's own copy: replace with the sci.gov.in or e-SCR link if your guide requires it.</t>
        </r>
      </text>
    </comment>
    <comment ref="O12" authorId="0" shapeId="0" xr:uid="{00000000-0006-0000-0200-00000A000000}">
      <text>
        <r>
          <rPr>
            <sz val="10"/>
            <rFont val="Arial"/>
            <family val="2"/>
          </rPr>
          <t>Not the court's own copy: replace with the sci.gov.in or e-SCR link if your guide requires it.</t>
        </r>
      </text>
    </comment>
    <comment ref="O13" authorId="0" shapeId="0" xr:uid="{00000000-0006-0000-0200-00000B000000}">
      <text>
        <r>
          <rPr>
            <sz val="10"/>
            <rFont val="Arial"/>
            <family val="2"/>
          </rPr>
          <t>Official court copy (sci.gov.in).</t>
        </r>
      </text>
    </comment>
    <comment ref="O14" authorId="0" shapeId="0" xr:uid="{00000000-0006-0000-0200-00000C000000}">
      <text>
        <r>
          <rPr>
            <sz val="10"/>
            <rFont val="Arial"/>
            <family val="2"/>
          </rPr>
          <t>Not the court's own copy: replace with the sci.gov.in or e-SCR link if your guide requires it.</t>
        </r>
      </text>
    </comment>
    <comment ref="O15" authorId="0" shapeId="0" xr:uid="{00000000-0006-0000-0200-00000D000000}">
      <text>
        <r>
          <rPr>
            <sz val="10"/>
            <rFont val="Arial"/>
            <family val="2"/>
          </rPr>
          <t>Not the court's own copy: replace with the sci.gov.in or e-SCR link if your guide requires it.</t>
        </r>
      </text>
    </comment>
    <comment ref="O16" authorId="0" shapeId="0" xr:uid="{00000000-0006-0000-0200-00000E000000}">
      <text>
        <r>
          <rPr>
            <sz val="10"/>
            <rFont val="Arial"/>
            <family val="2"/>
          </rPr>
          <t>Official court copy (sci.gov.in).</t>
        </r>
      </text>
    </comment>
    <comment ref="O17" authorId="0" shapeId="0" xr:uid="{00000000-0006-0000-0200-00000F000000}">
      <text>
        <r>
          <rPr>
            <sz val="10"/>
            <rFont val="Arial"/>
            <family val="2"/>
          </rPr>
          <t>Not the court's own copy: replace with the sci.gov.in or e-SCR link if your guide requires it.</t>
        </r>
      </text>
    </comment>
    <comment ref="D18" authorId="0" shapeId="0" xr:uid="{00000000-0006-0000-0200-000001000000}">
      <text>
        <r>
          <rPr>
            <sz val="10"/>
            <rFont val="Arial"/>
            <family val="2"/>
          </rPr>
          <t>Date taken from the digital signature date on the judgment text; confirm.</t>
        </r>
      </text>
    </comment>
    <comment ref="F18" authorId="0" shapeId="0" xr:uid="{00000000-0006-0000-0200-000003000000}">
      <text>
        <r>
          <rPr>
            <sz val="10"/>
            <rFont val="Arial"/>
            <family val="2"/>
          </rPr>
          <t>Bench size not confirmed from the sources I could read.</t>
        </r>
      </text>
    </comment>
    <comment ref="O18" authorId="0" shapeId="0" xr:uid="{00000000-0006-0000-0200-000010000000}">
      <text>
        <r>
          <rPr>
            <sz val="10"/>
            <rFont val="Arial"/>
            <family val="2"/>
          </rPr>
          <t>Not the court's own copy: replace with the sci.gov.in or e-SCR link if your guide requires it.</t>
        </r>
      </text>
    </comment>
    <comment ref="D19" authorId="0" shapeId="0" xr:uid="{00000000-0006-0000-0200-000002000000}">
      <text>
        <r>
          <rPr>
            <sz val="10"/>
            <rFont val="Arial"/>
            <family val="2"/>
          </rPr>
          <t>Sources differ on the date (12 Feb vs 21 Feb 2025). Confirm from the judgment.</t>
        </r>
      </text>
    </comment>
    <comment ref="O19" authorId="0" shapeId="0" xr:uid="{00000000-0006-0000-0200-000011000000}">
      <text>
        <r>
          <rPr>
            <sz val="10"/>
            <rFont val="Arial"/>
            <family val="2"/>
          </rPr>
          <t>Not the court's own copy: replace with the sci.gov.in or e-SCR link if your guide requires it.</t>
        </r>
      </text>
    </comment>
    <comment ref="O20" authorId="0" shapeId="0" xr:uid="{00000000-0006-0000-0200-000012000000}">
      <text>
        <r>
          <rPr>
            <sz val="10"/>
            <rFont val="Arial"/>
            <family val="2"/>
          </rPr>
          <t>Official court copy (sci.gov.in).</t>
        </r>
      </text>
    </comment>
    <comment ref="O21" authorId="0" shapeId="0" xr:uid="{00000000-0006-0000-0200-000013000000}">
      <text>
        <r>
          <rPr>
            <sz val="10"/>
            <rFont val="Arial"/>
            <family val="2"/>
          </rPr>
          <t>Not the court's own copy: replace with the sci.gov.in or e-SCR link if your guide requires it.</t>
        </r>
      </text>
    </comment>
    <comment ref="O22" authorId="0" shapeId="0" xr:uid="{00000000-0006-0000-0200-000014000000}">
      <text>
        <r>
          <rPr>
            <sz val="10"/>
            <rFont val="Arial"/>
            <family val="2"/>
          </rPr>
          <t>Official court copy (sci.gov.in).</t>
        </r>
      </text>
    </comment>
    <comment ref="O23" authorId="0" shapeId="0" xr:uid="{00000000-0006-0000-0200-000015000000}">
      <text>
        <r>
          <rPr>
            <sz val="10"/>
            <rFont val="Arial"/>
            <family val="2"/>
          </rPr>
          <t>Not the court's own copy: replace with the sci.gov.in or e-SCR link if your guide requires it.</t>
        </r>
      </text>
    </comment>
  </commentList>
</comments>
</file>

<file path=xl/sharedStrings.xml><?xml version="1.0" encoding="utf-8"?>
<sst xmlns="http://schemas.openxmlformats.org/spreadsheetml/2006/main" count="363" uniqueCount="215">
  <si>
    <t>Judgment Content Analysis · Dataset template</t>
  </si>
  <si>
    <t>How to use this file</t>
  </si>
  <si>
    <t>1. Fill the Team sheet.</t>
  </si>
  <si>
    <t>2. In the Data sheet, enter one row per judgment starting at row 6. Row 5 is a made-up example showing the format; leave it as it is.</t>
  </si>
  <si>
    <t>3. Pale yellow cells are yours to fill. Dropdown columns accept only the listed values (see the Vocabularies sheet). Do not add, delete or reorder columns.</t>
  </si>
  <si>
    <t>4. When done, rename this file data.xlsx. Also save the Data sheet as data.csv (File &gt; Save As &gt; CSV). Upload both to your GitHub repository.</t>
  </si>
  <si>
    <t>5. Read the Option 2 Guide for the column meanings, the charts, GitHub steps and the README.</t>
  </si>
  <si>
    <t>Team information</t>
  </si>
  <si>
    <t>Topic</t>
  </si>
  <si>
    <t>Medical negligence of doctors and hospitals (consumer and criminal cases)</t>
  </si>
  <si>
    <t>Court</t>
  </si>
  <si>
    <t>Supreme Court of India</t>
  </si>
  <si>
    <t>Team name</t>
  </si>
  <si>
    <t>Duty of Care</t>
  </si>
  <si>
    <t>GitHub repository link</t>
  </si>
  <si>
    <t>Member 1 · name and section</t>
  </si>
  <si>
    <t>Pranavi Kollu - Section B</t>
  </si>
  <si>
    <t>Member 2 · name and section</t>
  </si>
  <si>
    <t>Pragna Mattela - Section D</t>
  </si>
  <si>
    <t>Member 3 · name and section (if any)</t>
  </si>
  <si>
    <t>Jyotsna Reddy - Section D</t>
  </si>
  <si>
    <t>Member 4 · name and section (if any)</t>
  </si>
  <si>
    <t>Date completed (DD-MM-YYYY)</t>
  </si>
  <si>
    <t>25-10-2026</t>
  </si>
  <si>
    <t>Data · one row per judgment</t>
  </si>
  <si>
    <t>Row 5 is a made-up example. Your judgments start at row 6. Enter 10 to 20 judgments decided between 01-09-2021 and 31-08-2026. See the Option 2 Guide, section 4.</t>
  </si>
  <si>
    <t>#</t>
  </si>
  <si>
    <t>Case name</t>
  </si>
  <si>
    <t>Citation or case number</t>
  </si>
  <si>
    <t>Date of decision (DD-MM-YYYY)</t>
  </si>
  <si>
    <t>Year</t>
  </si>
  <si>
    <t>Bench strength</t>
  </si>
  <si>
    <t>Type of case</t>
  </si>
  <si>
    <t>Who brought the case</t>
  </si>
  <si>
    <t>Outcome</t>
  </si>
  <si>
    <t>Who won</t>
  </si>
  <si>
    <t>Main provision</t>
  </si>
  <si>
    <t>Issue in one line</t>
  </si>
  <si>
    <t>Holding in one line</t>
  </si>
  <si>
    <t>Precedent chiefly relied on</t>
  </si>
  <si>
    <t>Source link (official copy)</t>
  </si>
  <si>
    <t>Coded by</t>
  </si>
  <si>
    <t>EX</t>
  </si>
  <si>
    <t>Example Petitioner v. State of Maharashtra (made-up)</t>
  </si>
  <si>
    <t>2024 INSC 000 (made-up)</t>
  </si>
  <si>
    <t>15-03-2024</t>
  </si>
  <si>
    <t>Criminal appeal</t>
  </si>
  <si>
    <t>Individual</t>
  </si>
  <si>
    <t>Allowed</t>
  </si>
  <si>
    <t>s 438 CrPC</t>
  </si>
  <si>
    <t>Whether anticipatory bail can be limited to a fixed period.</t>
  </si>
  <si>
    <t>Bail granted; protection ordinarily lasts till the end of trial.</t>
  </si>
  <si>
    <t>Sushila Aggarwal v. State (NCT of Delhi)</t>
  </si>
  <si>
    <t>https://www.sci.gov.in/judgements/ (made-up)</t>
  </si>
  <si>
    <t>A. Deshmukh</t>
  </si>
  <si>
    <t>Bombay Hospital &amp; Medical Research Centre v. Asha Jaiswal and Ors.</t>
  </si>
  <si>
    <t>2021 INSC 801; 2021 SCC OnLine SC 1149; CA 1658 of 2010</t>
  </si>
  <si>
    <t>30-11-2021</t>
  </si>
  <si>
    <t>Civil appeal</t>
  </si>
  <si>
    <t>Company</t>
  </si>
  <si>
    <t>CPA 1986 / res ipsa loquitur</t>
  </si>
  <si>
    <t>Whether a hospital and doctor were negligent in treating a patient who died, where NCDRC relied on res ipsa loquitur and the lack of an operation theatre.</t>
  </si>
  <si>
    <t>NCDRC order set aside and complaint dismissed; no expert evidence of negligence; Rs 5 lakh already paid treated as ex gratia.</t>
  </si>
  <si>
    <t>Jacob Mathew v. State of Punjab</t>
  </si>
  <si>
    <t>https://api.sci.gov.in/supremecourt/2010/4109/4109_2010_11_1501_31713_Judgement_30-Nov-2021.pdf</t>
  </si>
  <si>
    <t>M/s Sheth M.L. Vaduwala Eye Hospital v. Oriental Insurance Co. Ltd. and Ors.</t>
  </si>
  <si>
    <t>CA Nos. 7611-7634 of 2021</t>
  </si>
  <si>
    <t>11-12-2021</t>
  </si>
  <si>
    <t>Dismissed</t>
  </si>
  <si>
    <t>CPA 1986 / professional indemnity insurance</t>
  </si>
  <si>
    <t>Whether a hospital can be indemnified by the insurer under professional indemnity policies taken by its doctors after negligent cataract surgeries at an eye camp.</t>
  </si>
  <si>
    <t>Hospital cannot claim indemnity under policies obtained by the doctors for their own professional liability; the negligence finding was against the hospital itself.</t>
  </si>
  <si>
    <t>https://indiankanoon.org/doc/109124559/</t>
  </si>
  <si>
    <t>Dr. (Mrs.) Chanda Rani Akhouri v. Dr. M.A. Methusethupathi</t>
  </si>
  <si>
    <t>2022 SCC OnLine SC 481; CA 6507 of 2009</t>
  </si>
  <si>
    <t>20-04-2022</t>
  </si>
  <si>
    <t>Mixed or unclear</t>
  </si>
  <si>
    <t>CPA 1986 / medical negligence standard</t>
  </si>
  <si>
    <t>Whether the treating doctors were negligent in post-operative care after a kidney transplant that ended in the patient's death.</t>
  </si>
  <si>
    <t>No negligence; doctors are not liable merely because the patient could not be saved, and an error of judgment or accident is not proof of negligence.</t>
  </si>
  <si>
    <t>https://www.livelaw.in/top-stories/supreme-court-doctors-medical-negligence-patient-dr-chanda-rani-akhouri-vs-dr-ma-methusethupathi-2022-livelaw-sc-391-197098</t>
  </si>
  <si>
    <t>Harnek Singh and Ors. v. Gurmit Singh and Ors.</t>
  </si>
  <si>
    <t>2022 INSC 583; CA 4126-4127 of 2022</t>
  </si>
  <si>
    <t>18-05-2022</t>
  </si>
  <si>
    <t>CPA 1986 / medical negligence</t>
  </si>
  <si>
    <t>Whether a surgeon and hospital were negligent in failing to detect bowel perforation after surgery, and what weight Medical Council of India findings carry.</t>
  </si>
  <si>
    <t>NCDRC erred in ignoring the evidence; MCI findings on the doctor's conduct are highly relevant; negligence established and Rs 25 lakh with 6% interest awarded.</t>
  </si>
  <si>
    <t>https://indiankanoon.org/doc/45469691/</t>
  </si>
  <si>
    <t>Devarakonda Surya Sesha Mani v. Care Hospital, Institute of Medical Sciences</t>
  </si>
  <si>
    <t>CA 4596 of 2022</t>
  </si>
  <si>
    <t>26-08-2022</t>
  </si>
  <si>
    <t>Whether the death of a patient at a Visakhapatnam hospital resulted from medical negligence and delayed treatment.</t>
  </si>
  <si>
    <t>NCDRC dismissal upheld; not every death in a hospital is medical negligence and the Court will not second-guess the doctors' treatment decisions.</t>
  </si>
  <si>
    <t>Supreme Court decisions on the medical negligence test (not named in the order)</t>
  </si>
  <si>
    <t>https://main.sci.gov.in/supremecourt/2021/11121/11121_2021_2_5_37673_Order_26-Aug-2022.pdf</t>
  </si>
  <si>
    <t>Nagarmal Modi Sewa Sadan v. Prem Prakash Rajagaria and Ors.</t>
  </si>
  <si>
    <t>CA 6224 of 2013</t>
  </si>
  <si>
    <t>20-04-2023</t>
  </si>
  <si>
    <t>Partly allowed</t>
  </si>
  <si>
    <t>Who must pay compensation for negligence by doctors working in a hospital: the hospital or the doctors' insurer.</t>
  </si>
  <si>
    <t>NCDRC finding of negligence left undisturbed; the insurer must reimburse to the extent of its policy liability and the hospital pays the rest jointly and severally.</t>
  </si>
  <si>
    <t>Sheth M.L. Vaduwala Eye Hospital v. Oriental Insurance Co. (distinguished)</t>
  </si>
  <si>
    <t>https://www.livelaw.in/pdf_upload/344-nagarmal-modi-sewa-sadan-v-prem-prakash-rajagaria-20-apr-2023-471225.pdf</t>
  </si>
  <si>
    <t>Upendra Kaul v. S.C. Mathur and Ors.</t>
  </si>
  <si>
    <t>CA Nos. 3905-3907 of 2016</t>
  </si>
  <si>
    <t>16-08-2023</t>
  </si>
  <si>
    <t>Whether NCDRC's adverse observations against a cardiologist and AIIMS after a patient's death following angioplasty were justified.</t>
  </si>
  <si>
    <t>Adverse observations against the doctor and hospital set aside; the complainants produced no independent expert evidence of negligence.</t>
  </si>
  <si>
    <t>https://www.livelaw.in/supreme-court/supreme-court-ncdrc-adverse-remarks-cardiologist-upendra-kaul-aiims-medical-negligence-235371</t>
  </si>
  <si>
    <t>CPL Ashish Kumar Chauhan (Retd.) v. Commanding Officer and Ors.</t>
  </si>
  <si>
    <t>2023 INSC 857; 2023 SCC OnLine SC 1220</t>
  </si>
  <si>
    <t>26-09-2023</t>
  </si>
  <si>
    <t>CPA 1986 / HIV and AIDS Act 2017 / medical negligence</t>
  </si>
  <si>
    <t>Whether an air force veteran who contracted HIV from a blood transfusion at a military hospital was owed compensation for medical negligence.</t>
  </si>
  <si>
    <t>NCDRC order reversed; the Air Force and Army are vicariously liable and must pay about Rs 1.54 crore, with directions under the HIV Act.</t>
  </si>
  <si>
    <t>Savita Garg v. Director, National Heart Institute; Nizam's Institute of Medical Sciences v. Prasanth S. Dhananka</t>
  </si>
  <si>
    <t>https://api.sci.gov.in/supremecourt/2021/26002/26002_2021_8_1501_47226_Judgement_26-Sep-2023.pdf</t>
  </si>
  <si>
    <t>Mrs. Kalyani Rajan v. Indraprastha Apollo Hospital and Ors.</t>
  </si>
  <si>
    <t>2023 INSC 921; 2023 SCC OnLine SC 1355; CA 10347 of 2010</t>
  </si>
  <si>
    <t>17-10-2023</t>
  </si>
  <si>
    <t>Whether a patient's cardiac arrest after neurosurgery showed negligent post-operative care, and whether res ipsa loquitur applies.</t>
  </si>
  <si>
    <t>No negligence; res ipsa loquitur needs a clear 'res' and strong evidence, so the NCDRC dismissal was upheld.</t>
  </si>
  <si>
    <t>Martin F. D'Souza v. Mohd. Ishfaq</t>
  </si>
  <si>
    <t>https://indiankanoon.org/doc/125669903/</t>
  </si>
  <si>
    <t>M.A. Biviji v. Sunita and Ors.</t>
  </si>
  <si>
    <t>2023 INSC 938; (2024) 2 SCC 242; CA 3975 of 2018</t>
  </si>
  <si>
    <t>19-10-2023</t>
  </si>
  <si>
    <t>Whether a forceful nasotracheal intubation and the later complications amounted to medical negligence by the doctors and hospital.</t>
  </si>
  <si>
    <t>Negligence not proved; NCDRC compensation set aside; duty of care, breach and resulting damage must all be shown.</t>
  </si>
  <si>
    <t>https://indiankanoon.org/doc/160625500/</t>
  </si>
  <si>
    <t>Jyoti Devi v. Suket Hospital and Ors.</t>
  </si>
  <si>
    <t>2024 INSC 330; SLP(C) 242 of 2016</t>
  </si>
  <si>
    <t>23-04-2024</t>
  </si>
  <si>
    <t>CPA 1986, s 14 (compensation)</t>
  </si>
  <si>
    <t>Whether compensation was adequate for post-operative negligence after appendicitis surgery left a needle in the patient's abdomen.</t>
  </si>
  <si>
    <t>District Forum award of Rs 5 lakh with 9% interest and Rs 50,000 costs restored; the lower reductions and the eggshell-skull reasoning were set aside.</t>
  </si>
  <si>
    <t>Nizam's Institute of Medical Sciences v. Prasanth S. Dhananka; Balram Prasad v. Kunal Saha</t>
  </si>
  <si>
    <t>https://api.sci.gov.in/supremecourt/2015/41235/41235_2015_9_1501_52474_Judgement_23-Apr-2024.pdf</t>
  </si>
  <si>
    <t>P.N. Gupta v. Rajinder Singh Dogra</t>
  </si>
  <si>
    <t>2024 INSC 705</t>
  </si>
  <si>
    <t>05-09-2024</t>
  </si>
  <si>
    <t>CPA 1986 / medical negligence and informed consent</t>
  </si>
  <si>
    <t>Whether a surgeon's operative and post-operative care, and the consent taken for further surgeries, met the required standard of care in a patient's death.</t>
  </si>
  <si>
    <t>Negligence upheld on several counts (surgical care, delayed referral to a liver specialist, poor records, no consent); NCDRC's Rs 7 lakh compensation stands.</t>
  </si>
  <si>
    <t>Jacob Mathew v. State of Punjab; Samira Kohli v. Dr. Prabha Manchanda</t>
  </si>
  <si>
    <t>https://www.casemine.com/commentary/in/establishing-stricter-standards-in-medical-negligence:-p.n.gupta-v.-rajinder-singh-dogra-(2024-insc-705)/view</t>
  </si>
  <si>
    <t>D.C. Malviya (Since Deceased) through LRs v. Dr. A.H. Memon (Since Deceased) through LRs and Ors.</t>
  </si>
  <si>
    <t>2024 INSC 786; SLP(C) 32406-32407 of 2017</t>
  </si>
  <si>
    <t>15-10-2024</t>
  </si>
  <si>
    <t>SLP</t>
  </si>
  <si>
    <t>CPA 1986 / compensation (enhancement)</t>
  </si>
  <si>
    <t>Whether the NCDRC's compensation for a patient's death after an endoscopic polypectomy should be enhanced.</t>
  </si>
  <si>
    <t>SLPs dismissed; NCDRC's lump-sum award (Rs 3 lakh, plus Rs 50,000 each from two other parties) held reasonable and left undisturbed.</t>
  </si>
  <si>
    <t>https://indiankanoon.org/doc/161076329/</t>
  </si>
  <si>
    <t>Neeraj Sud and Anr. v. Jaswinder Singh (Minor) and Anr.</t>
  </si>
  <si>
    <t>2024 INSC 825; 2024 SCC OnLine SC 3069</t>
  </si>
  <si>
    <t>25-10-2024</t>
  </si>
  <si>
    <t>Whether worsening of a minor's eye condition after ptosis surgery at PGI Chandigarh showed negligence by the surgeon.</t>
  </si>
  <si>
    <t>NCDRC order set aside and State Commission dismissal restored; a poor surgical outcome alone is not negligence without proof of lack of skill or care.</t>
  </si>
  <si>
    <t>Bolam test</t>
  </si>
  <si>
    <t>https://www.verdictum.in/court-updates/supreme-court/2024-insc-825-neeraj-sud-jaswinder-singh-minor-deterioration-of-patient-condition-post-surgery-not-necessarily-medical-negligence-1556048</t>
  </si>
  <si>
    <t>Bherulal Bhimaji Oswal (Dead) through LRs v. Madhusudan N. Kumbhare</t>
  </si>
  <si>
    <t>2024 INSC 1035; CA Nos. 14816-14817 of 2024</t>
  </si>
  <si>
    <t>19-12-2024</t>
  </si>
  <si>
    <t>CPA 1986 / post-operative negligence</t>
  </si>
  <si>
    <t>Whether an eye surgeon was negligent in post-operative care after cataract surgery that ended in loss of vision.</t>
  </si>
  <si>
    <t>Negligence established without expert evidence; NCDRC order set aside and the Rs 3.5 lakh compensation restored.</t>
  </si>
  <si>
    <t>https://www.verdictum.in/court-updates/supreme-court/bherulal-bhimaji-oswal-v-madhusudan-n-kumbhare-2024-insc-1035-medical-negligence-compensation-cataract-surgery-ncdrc-1562083</t>
  </si>
  <si>
    <t>Dr. Mohan v. State of Tamil Nadu</t>
  </si>
  <si>
    <t>Crl. A. Nos. 720-722 of 2025</t>
  </si>
  <si>
    <t>12-02-2025</t>
  </si>
  <si>
    <t>s 304 Part I and s 304A IPC</t>
  </si>
  <si>
    <t>Whether a doctor who told a nurse by phone to give an injection can be charged with culpable homicide.</t>
  </si>
  <si>
    <t>Culpable homicide charge under s 304 Part I quashed; trial to proceed only under s 304A (death by negligence).</t>
  </si>
  <si>
    <t>https://api.sci.gov.in/supremecourt/2022/12718/12718_2022_5_19_59213_Order_12-Feb-2025.pdf</t>
  </si>
  <si>
    <t>Managing Director, Kamineni Hospitals v. Peddi Narayana Swami and Anr.</t>
  </si>
  <si>
    <t>2025 INSC 527; SLP(C) 2948-2949 of 2023</t>
  </si>
  <si>
    <t>22-04-2025</t>
  </si>
  <si>
    <t>CPA 1986 / vicarious liability</t>
  </si>
  <si>
    <t>Whether a hospital is vicariously liable for a doctor's negligence causing a patient's death, and whether the Rs 15 lakh compensation was right.</t>
  </si>
  <si>
    <t>Negligence finding upheld; the hospital's compensation reduced to Rs 10 lakh with accrued interest.</t>
  </si>
  <si>
    <t>https://api.sci.gov.in/supremecourt/2022/33063/33063_2022_2_1501_61050_Judgement_22-Apr-2025.pdf</t>
  </si>
  <si>
    <t>Deep Nursing Home and Anr. v. Manmeet Singh Mattewal and Ors.</t>
  </si>
  <si>
    <t>2025 INSC 1094; 2025 SCC OnLine SC 1934</t>
  </si>
  <si>
    <t>09-09-2025</t>
  </si>
  <si>
    <t>CPA 1986 / limits of pleadings</t>
  </si>
  <si>
    <t>Whether NCDRC could find negligence in antenatal care when the complaint pleaded only post-delivery negligence.</t>
  </si>
  <si>
    <t>NCDRC order and State Commission judgment set aside and the complaint dismissed; the complainant must refund Rs 10 lakh to the doctor.</t>
  </si>
  <si>
    <t>https://lawbeat.in/supreme-court-judgments/no-favourable-response-to-treatment-doesnt-mean-negligence-by-doctor-sc-sets-aside-ncdrcs-order-of-compensation-1518140</t>
  </si>
  <si>
    <t>Kumud Lall v. Suresh Chandra Roy (Dead) through LRs and Ors.</t>
  </si>
  <si>
    <t>2026 INSC 443; SLP(C) 33646-33647 of 2018</t>
  </si>
  <si>
    <t>04-05-2026</t>
  </si>
  <si>
    <t>CPA 1986 s 13(7); Order XXII CPC; s 306 Succession Act 1925</t>
  </si>
  <si>
    <t>Whether a medical negligence complaint survives against the legal heirs of a doctor who died during the case.</t>
  </si>
  <si>
    <t>Heirs may be substituted but are liable only to the extent of the estate; the consumer forum must first decide whether negligence is proved.</t>
  </si>
  <si>
    <t>https://api.sci.gov.in/supremecourt/2018/38299/38299_2018_3_1501_70747_Judgement_04-May-2026.pdf</t>
  </si>
  <si>
    <t>Supriya Kumari M.C. v. State of Kerala and Ors.</t>
  </si>
  <si>
    <t>2026 INSC 537; 2026 SCC OnLine SC 928</t>
  </si>
  <si>
    <t>25-05-2026</t>
  </si>
  <si>
    <t>s 304A IPC</t>
  </si>
  <si>
    <t>Whether an off-duty anaesthetist can be prosecuted for a patient's death after a nurse gave a painkiller on her phone advice.</t>
  </si>
  <si>
    <t>Prosecution quashed; no gross negligence shown and the expert panel had no anaesthetist.</t>
  </si>
  <si>
    <t>https://www.supremecourtcases.com/supriya-kumari-m-c-v-state-of-kerala-and-others/</t>
  </si>
  <si>
    <t>Counts for your charts (these update automatically from the Data sheet)</t>
  </si>
  <si>
    <t>Select a table below, then Insert &gt; Chart in Excel or Google Sheets. Save each chart as PNG.</t>
  </si>
  <si>
    <t>Judgments</t>
  </si>
  <si>
    <t>Other</t>
  </si>
  <si>
    <t>State or public body</t>
  </si>
  <si>
    <t>Association or NGO</t>
  </si>
  <si>
    <t>Writ petition</t>
  </si>
  <si>
    <t>Lists used by the dropdowns (do not edit)</t>
  </si>
  <si>
    <t>Pragna</t>
  </si>
  <si>
    <t>pranavi</t>
  </si>
  <si>
    <t xml:space="preserve">pranavi </t>
  </si>
  <si>
    <t>Jyotsna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</si>
</sst>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6"/>
      <color rgb="FF1B2431"/>
      <name val="Arial"/>
      <family val="2"/>
      <charset val="1"/>
    </font>
    <font>
      <sz val="9"/>
      <name val="Arial"/>
      <family val="2"/>
      <charset val="1"/>
    </font>
    <font>
      <b/>
      <sz val="12"/>
      <color rgb="FF1B2431"/>
      <name val="Arial"/>
      <family val="2"/>
      <charset val="1"/>
    </font>
    <font>
      <sz val="10"/>
      <name val="Arial"/>
      <family val="2"/>
      <charset val="1"/>
    </font>
    <font>
      <b/>
      <sz val="14"/>
      <color rgb="FF1B2431"/>
      <name val="Arial"/>
      <family val="2"/>
      <charset val="1"/>
    </font>
    <font>
      <b/>
      <sz val="10"/>
      <name val="Arial"/>
      <family val="2"/>
      <charset val="1"/>
    </font>
    <font>
      <sz val="9"/>
      <color rgb="FF5A6472"/>
      <name val="Arial"/>
      <family val="2"/>
      <charset val="1"/>
    </font>
    <font>
      <b/>
      <sz val="9"/>
      <color rgb="FFFFFFFF"/>
      <name val="Arial"/>
      <family val="2"/>
      <charset val="1"/>
    </font>
    <font>
      <sz val="10"/>
      <name val="Arial"/>
      <family val="2"/>
    </font>
  </fonts>
  <fills count="5">
    <fill>
      <patternFill patternType="none"/>
    </fill>
    <fill>
      <patternFill patternType="gray125"/>
    </fill>
    <fill>
      <patternFill patternType="solid">
        <fgColor rgb="FFFFF7CC"/>
        <bgColor rgb="FFF2F2F0"/>
      </patternFill>
    </fill>
    <fill>
      <patternFill patternType="solid">
        <fgColor rgb="FF1B2431"/>
        <bgColor rgb="FF333300"/>
      </patternFill>
    </fill>
    <fill>
      <patternFill patternType="solid">
        <fgColor rgb="FFF2F2F0"/>
        <bgColor rgb="FFFFFFFF"/>
      </patternFill>
    </fill>
  </fills>
  <borders count="2">
    <border>
      <left/>
      <right/>
      <top/>
      <bottom/>
      <diagonal/>
    </border>
    <border>
      <left style="thin">
        <color rgb="FFD0D4D9"/>
      </left>
      <right style="thin">
        <color rgb="FFD0D4D9"/>
      </right>
      <top style="thin">
        <color rgb="FFD0D4D9"/>
      </top>
      <bottom style="thin">
        <color rgb="FFD0D4D9"/>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0" borderId="0" xfId="0" applyFont="1"/>
    <xf numFmtId="0" fontId="4" fillId="2" borderId="1" xfId="0" applyFont="1" applyFill="1" applyBorder="1"/>
    <xf numFmtId="0" fontId="7" fillId="0" borderId="0" xfId="0" applyFont="1"/>
    <xf numFmtId="0" fontId="8" fillId="3" borderId="0" xfId="0" applyFont="1" applyFill="1" applyAlignment="1">
      <alignment vertical="top" wrapText="1"/>
    </xf>
    <xf numFmtId="0" fontId="7" fillId="4" borderId="1" xfId="0" applyFont="1" applyFill="1" applyBorder="1" applyAlignment="1">
      <alignment vertical="top" wrapText="1"/>
    </xf>
    <xf numFmtId="0" fontId="2" fillId="0" borderId="0" xfId="0" applyFont="1"/>
    <xf numFmtId="0" fontId="2" fillId="2" borderId="1" xfId="0" applyFont="1" applyFill="1" applyBorder="1" applyAlignment="1">
      <alignment vertical="top" wrapText="1"/>
    </xf>
    <xf numFmtId="0" fontId="3" fillId="0" borderId="0" xfId="0" applyFont="1"/>
    <xf numFmtId="0" fontId="8" fillId="3"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CC"/>
      <rgbColor rgb="FFF2F2F0"/>
      <rgbColor rgb="FF660066"/>
      <rgbColor rgb="FFFF8080"/>
      <rgbColor rgb="FF0066CC"/>
      <rgbColor rgb="FFD0D4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472"/>
      <rgbColor rgb="FF969696"/>
      <rgbColor rgb="FF003366"/>
      <rgbColor rgb="FF339966"/>
      <rgbColor rgb="FF003300"/>
      <rgbColor rgb="FF333300"/>
      <rgbColor rgb="FF993300"/>
      <rgbColor rgb="FF993366"/>
      <rgbColor rgb="FF333399"/>
      <rgbColor rgb="FF1B243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57"/>
  <sheetViews>
    <sheetView zoomScaleNormal="100" workbookViewId="0">
      <selection activeCell="B21" sqref="B21"/>
    </sheetView>
  </sheetViews>
  <sheetFormatPr defaultColWidth="8.81640625" defaultRowHeight="14.5" x14ac:dyDescent="0.35"/>
  <cols>
    <col min="1" max="1" width="3" customWidth="1"/>
    <col min="2" max="2" width="105" customWidth="1"/>
  </cols>
  <sheetData>
    <row r="2" spans="2:2" ht="36" customHeight="1" x14ac:dyDescent="0.35">
      <c r="B2" s="1" t="s">
        <v>0</v>
      </c>
    </row>
    <row r="3" spans="2:2" ht="15.75" customHeight="1" x14ac:dyDescent="0.35">
      <c r="B3" s="2"/>
    </row>
    <row r="4" spans="2:2" ht="18" customHeight="1" x14ac:dyDescent="0.35">
      <c r="B4" s="3" t="s">
        <v>1</v>
      </c>
    </row>
    <row r="5" spans="2:2" ht="15.75" customHeight="1" x14ac:dyDescent="0.35">
      <c r="B5" s="4" t="s">
        <v>2</v>
      </c>
    </row>
    <row r="6" spans="2:2" ht="30" customHeight="1" x14ac:dyDescent="0.35">
      <c r="B6" s="4" t="s">
        <v>3</v>
      </c>
    </row>
    <row r="7" spans="2:2" ht="30" customHeight="1" x14ac:dyDescent="0.35">
      <c r="B7" s="4" t="s">
        <v>4</v>
      </c>
    </row>
    <row r="8" spans="2:2" ht="30" customHeight="1" x14ac:dyDescent="0.35">
      <c r="B8" s="4" t="s">
        <v>5</v>
      </c>
    </row>
    <row r="9" spans="2:2" ht="15.75" customHeight="1" x14ac:dyDescent="0.35">
      <c r="B9" s="4" t="s">
        <v>6</v>
      </c>
    </row>
    <row r="11" spans="2:2" ht="48" customHeight="1" x14ac:dyDescent="0.35">
      <c r="B11" s="1" t="inlineStr">
        <is>
          <t xml:space="preserve"># Medical negligence of doctors and hospitals in the Supreme Court of India, 2021 to 2026</t>
        </is>
      </c>
    </row>
    <row r="13" spans="2:2" ht="22" customHeight="1" x14ac:dyDescent="0.35">
      <c r="B13" s="3" t="inlineStr">
        <is>
          <t xml:space="preserve">## Team</t>
        </is>
      </c>
    </row>
    <row r="15" spans="2:2" ht="16" customHeight="1" x14ac:dyDescent="0.35">
      <c r="B15" s="4" t="inlineStr">
        <is>
          <t xml:space="preserve">Team name: Duty of Care</t>
        </is>
      </c>
    </row>
    <row r="17" spans="2:2" ht="16" customHeight="1" x14ac:dyDescent="0.35">
      <c r="B17" s="4" t="inlineStr">
        <is>
          <t xml:space="preserve">- Pranavi Kollu, Section B</t>
        </is>
      </c>
    </row>
    <row r="18" spans="2:2" ht="16" customHeight="1" x14ac:dyDescent="0.35">
      <c r="B18" s="4" t="inlineStr">
        <is>
          <t xml:space="preserve">- Pragna Mattela, Section D</t>
        </is>
      </c>
    </row>
    <row r="19" spans="2:2" ht="16" customHeight="1" x14ac:dyDescent="0.35">
      <c r="B19" s="4" t="inlineStr">
        <is>
          <t xml:space="preserve">- Jyotsna Reddy, Section D</t>
        </is>
      </c>
    </row>
    <row r="21" spans="2:2" ht="22" customHeight="1" x14ac:dyDescent="0.35">
      <c r="B21" s="3" t="inlineStr">
        <is>
          <t xml:space="preserve">## Topic</t>
        </is>
      </c>
    </row>
    <row r="23" spans="2:2" ht="55" customHeight="1" x14ac:dyDescent="0.35">
      <c r="B23" s="4" t="inlineStr">
        <is>
          <t xml:space="preserve">This project studies how the Supreme Court of India decides claims that doctors and hospitals were negligent, in both consumer and criminal cases. It interests us because it sits where law meets everyday trust in a doctor, and because the Court must decide how far a bad medical outcome says anything about the quality of care. We wanted to see whether the Court's approach changed between 2021 and 2026.</t>
        </is>
      </c>
    </row>
    <row r="25" spans="2:2" ht="22" customHeight="1" x14ac:dyDescent="0.35">
      <c r="B25" s="3" t="inlineStr">
        <is>
          <t xml:space="preserve">## How we found the judgments</t>
        </is>
      </c>
    </row>
    <row r="27" spans="2:2" ht="107" customHeight="1" x14ac:dyDescent="0.35">
      <c r="B27" s="4" t="inlineStr">
        <is>
          <t xml:space="preserve">We did not use a paid database. We searched the open web, mainly Supreme Court of India PDFs and legal news and law-report sites such as LiveLaw, Verdictum, SCC Online Blog and Indian Kanoon. Our search terms included "Supreme Court medical negligence judgment", "NCDRC doctor hospital negligence", "hospital vicarious liability", "professional indemnity insurance hospital" and "section 304A doctor". Each search returned roughly 10 to 20 links, many of them repeats of the same judgments. We kept a judgment only if the Supreme Court decided it between 01-09-2021 and 31-08-2026, it concerned the negligence of a doctor or hospital, and we could find its citation or case number and a report of its holding. That left 20 judgments, which we recorded one row each in the Data sheet.</t>
        </is>
      </c>
    </row>
    <row r="29" spans="2:2" ht="22" customHeight="1" x14ac:dyDescent="0.35">
      <c r="B29" s="3" t="inlineStr">
        <is>
          <t xml:space="preserve">## What the data shows</t>
        </is>
      </c>
    </row>
    <row r="31" spans="2:2" ht="16" customHeight="1" x14ac:dyDescent="0.35">
      <c r="B31" s="4" t="inlineStr">
        <is>
          <t xml:space="preserve">![Judgments per year](chart1-per-year.png)</t>
        </is>
      </c>
    </row>
    <row r="33" spans="2:2" ht="42" customHeight="1" x14ac:dyDescent="0.35">
      <c r="B33" s="4" t="inlineStr">
        <is>
          <t xml:space="preserve">The 20 judgments fall mostly in 2023 and 2024, with five each. 2021 is a part-year because our window starts in September. Seventeen are civil appeals, one is a special leave petition and two are criminal appeals. What surprised us is that both criminal appeals come from 2025 and 2026.</t>
        </is>
      </c>
    </row>
    <row r="35" spans="2:2" ht="16" customHeight="1" x14ac:dyDescent="0.35">
      <c r="B35" s="4" t="inlineStr">
        <is>
          <t xml:space="preserve">![What the Court was asked, by year](chart2-questions-by-year.png)</t>
        </is>
      </c>
    </row>
    <row r="37" spans="2:2" ht="55" customHeight="1" x14ac:dyDescent="0.35">
      <c r="B37" s="4" t="inlineStr">
        <is>
          <t xml:space="preserve">We grouped each judgment by its main legal question. Up to 2024, ten of the 15 judgments are about the standard of care and what must be proved. In 2025 and 2026 none is: the five judgments deal with criminal liability, procedure (pleadings, legal heirs) and hospital liability. We did not expect a change this sharp, though the sample is small.</t>
        </is>
      </c>
    </row>
    <row r="39" spans="2:2" ht="16" customHeight="1" x14ac:dyDescent="0.35">
      <c r="B39" s="4" t="inlineStr">
        <is>
          <t xml:space="preserve">![Does liability stand?](chart3-liability-by-year.png)</t>
        </is>
      </c>
    </row>
    <row r="41" spans="2:2" ht="55" customHeight="1" x14ac:dyDescent="0.35">
      <c r="B41" s="4" t="inlineStr">
        <is>
          <t xml:space="preserve">Liability of the doctor or hospital stood in nine judgments and failed or was narrowed in ten, with one left open. Only 2024 leans towards liability standing (four of five). We expected a clear drift towards doctors or towards patients and found none. The Court also set aside the NCDRC's order in eight of the 18 civil and consumer judgments and upheld it in seven.</t>
        </is>
      </c>
    </row>
    <row r="43" spans="2:2" ht="16" customHeight="1" x14ac:dyDescent="0.35">
      <c r="B43" s="4" t="inlineStr">
        <is>
          <t xml:space="preserve">![Precedents the Court relied on](chart4-precedents.png)</t>
        </is>
      </c>
    </row>
    <row r="45" spans="2:2" ht="42" customHeight="1" x14ac:dyDescent="0.35">
      <c r="B45" s="4" t="inlineStr">
        <is>
          <t xml:space="preserve">Jacob Mathew v. State of Punjab is the chief precedent in six judgments, at least one in every year from 2021 to 2026, in civil and criminal cases alike. That steadiness did not surprise us. What did is that nine judgments name no precedent in our data, so the real count may be higher.</t>
        </is>
      </c>
    </row>
    <row r="47" spans="2:2" ht="16" customHeight="1" x14ac:dyDescent="0.35">
      <c r="B47" s="4" t="inlineStr">
        <is>
          <t xml:space="preserve">![Who brought the case and who won](chart5-who-brought-won.png)</t>
        </is>
      </c>
    </row>
    <row r="49" spans="2:2" ht="42" customHeight="1" x14ac:dyDescent="0.35">
      <c r="B49" s="4" t="inlineStr">
        <is>
          <t xml:space="preserve">Individuals brought 15 cases and companies five. Individuals won ten, companies five, and five had no clear winner. "Individual" covers both patients and doctors, so this chart cannot show who fares better; chart 3 is the better guide. The five unclear results surprised us.</t>
        </is>
      </c>
    </row>
    <row r="51" spans="2:2" ht="22" customHeight="1" x14ac:dyDescent="0.35">
      <c r="B51" s="3" t="inlineStr">
        <is>
          <t xml:space="preserve">## Limits</t>
        </is>
      </c>
    </row>
    <row r="53" spans="2:2" ht="55" customHeight="1" x14ac:dyDescent="0.35">
      <c r="B53" s="4" t="inlineStr">
        <is>
          <t xml:space="preserve">Twenty judgments found by web search are not a complete list of the Court's medical negligence decisions. A reader should not conclude how often the Court rules for doctors or patients, or that its doctrine changed, from counts of two to five judgments a year. The groupings behind charts 2 and 3 are our own reading of one-line summaries, and another reader might code some judgments differently.</t>
        </is>
      </c>
    </row>
    <row r="55" spans="2:2" ht="22" customHeight="1" x14ac:dyDescent="0.35">
      <c r="B55" s="3" t="inlineStr">
        <is>
          <t xml:space="preserve">## AI-use disclosure</t>
        </is>
      </c>
    </row>
    <row r="57" spans="2:2" ht="68" customHeight="1" x14ac:dyDescent="0.35">
      <c r="B57" s="4" t="inlineStr">
        <is>
          <t xml:space="preserve">We used Claude, an AI assistant made by Anthropic, to convert citations to Supreme Court citations, add two judgments (P.N. Gupta and D.C. Malviya), check dates, benches and case numbers, group the judgments, draw the charts, build the web page and draft this README. Its facts were cross-checked against law-report and news sites. We have not yet compared every entry with the official Supreme Court copy, so entries without a sci.gov.in link in the Source column are the least verified and should be treated as unconfirmed.</t>
        </is>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2"/>
  <sheetViews>
    <sheetView zoomScaleNormal="100" workbookViewId="0"/>
  </sheetViews>
  <sheetFormatPr defaultColWidth="8.81640625" defaultRowHeight="14.5" x14ac:dyDescent="0.35"/>
  <cols>
    <col min="1" max="1" width="3" customWidth="1"/>
    <col min="2" max="2" width="32" customWidth="1"/>
    <col min="3" max="3" width="50" customWidth="1"/>
  </cols>
  <sheetData>
    <row r="2" spans="2:3" ht="18" customHeight="1" x14ac:dyDescent="0.4">
      <c r="B2" s="5" t="s">
        <v>7</v>
      </c>
    </row>
    <row r="4" spans="2:3" ht="15" customHeight="1" x14ac:dyDescent="0.35">
      <c r="B4" s="6" t="s">
        <v>8</v>
      </c>
      <c r="C4" s="7" t="s">
        <v>9</v>
      </c>
    </row>
    <row r="5" spans="2:3" ht="15" customHeight="1" x14ac:dyDescent="0.35">
      <c r="B5" s="6" t="s">
        <v>10</v>
      </c>
      <c r="C5" s="7" t="s">
        <v>11</v>
      </c>
    </row>
    <row r="6" spans="2:3" ht="15" customHeight="1" x14ac:dyDescent="0.35">
      <c r="B6" s="6" t="s">
        <v>12</v>
      </c>
      <c r="C6" s="7" t="s">
        <v>13</v>
      </c>
    </row>
    <row r="7" spans="2:3" ht="15" customHeight="1" x14ac:dyDescent="0.35">
      <c r="B7" s="6" t="s">
        <v>14</v>
      </c>
      <c r="C7" s="7"/>
    </row>
    <row r="8" spans="2:3" ht="15" customHeight="1" x14ac:dyDescent="0.35">
      <c r="B8" s="6" t="s">
        <v>15</v>
      </c>
      <c r="C8" s="7" t="s">
        <v>16</v>
      </c>
    </row>
    <row r="9" spans="2:3" ht="15" customHeight="1" x14ac:dyDescent="0.35">
      <c r="B9" s="6" t="s">
        <v>17</v>
      </c>
      <c r="C9" s="7" t="s">
        <v>18</v>
      </c>
    </row>
    <row r="10" spans="2:3" ht="15" customHeight="1" x14ac:dyDescent="0.35">
      <c r="B10" s="6" t="s">
        <v>19</v>
      </c>
      <c r="C10" s="7" t="s">
        <v>20</v>
      </c>
    </row>
    <row r="11" spans="2:3" ht="15" customHeight="1" x14ac:dyDescent="0.35">
      <c r="B11" s="6" t="s">
        <v>21</v>
      </c>
      <c r="C11" s="7"/>
    </row>
    <row r="12" spans="2:3" ht="15" customHeight="1" x14ac:dyDescent="0.35">
      <c r="B12" s="6" t="s">
        <v>22</v>
      </c>
      <c r="C12" s="7" t="s">
        <v>23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
  <sheetViews>
    <sheetView tabSelected="1" zoomScale="40" zoomScaleNormal="100" workbookViewId="0">
      <pane xSplit="2" ySplit="4" topLeftCell="C5" activePane="bottomRight" state="frozen"/>
      <selection pane="topRight" activeCell="D1" sqref="D1"/>
      <selection pane="bottomLeft" activeCell="A5" sqref="A5"/>
      <selection pane="bottomRight" activeCell="Q20" sqref="Q20"/>
    </sheetView>
  </sheetViews>
  <sheetFormatPr defaultColWidth="8.81640625" defaultRowHeight="14.5" x14ac:dyDescent="0.35"/>
  <cols>
    <col min="1" max="1" width="4" customWidth="1"/>
    <col min="2" max="2" width="32" customWidth="1"/>
    <col min="3" max="3" width="22" customWidth="1"/>
    <col min="4" max="4" width="14" customWidth="1"/>
    <col min="5" max="5" width="7" customWidth="1"/>
    <col min="6" max="6" width="8" customWidth="1"/>
    <col min="7" max="7" width="16" customWidth="1"/>
    <col min="8" max="8" width="20" customWidth="1"/>
    <col min="9" max="9" width="14" customWidth="1"/>
    <col min="10" max="10" width="20" customWidth="1"/>
    <col min="11" max="11" width="18" customWidth="1"/>
    <col min="12" max="13" width="40" customWidth="1"/>
    <col min="14" max="14" width="28" customWidth="1"/>
    <col min="15" max="15" width="30" customWidth="1"/>
    <col min="16" max="16" width="16" customWidth="1"/>
  </cols>
  <sheetData>
    <row r="1" spans="1:16" ht="18" customHeight="1" x14ac:dyDescent="0.4">
      <c r="A1" s="5" t="s">
        <v>24</v>
      </c>
    </row>
    <row r="2" spans="1:16" ht="15" customHeight="1" x14ac:dyDescent="0.35">
      <c r="A2" s="8" t="s">
        <v>25</v>
      </c>
    </row>
    <row r="4" spans="1:16" ht="36" customHeight="1" x14ac:dyDescent="0.35">
      <c r="A4" s="9" t="s">
        <v>26</v>
      </c>
      <c r="B4" s="9" t="s">
        <v>27</v>
      </c>
      <c r="C4" s="9" t="s">
        <v>28</v>
      </c>
      <c r="D4" s="9" t="s">
        <v>29</v>
      </c>
      <c r="E4" s="9" t="s">
        <v>30</v>
      </c>
      <c r="F4" s="9" t="s">
        <v>31</v>
      </c>
      <c r="G4" s="9" t="s">
        <v>32</v>
      </c>
      <c r="H4" s="9" t="s">
        <v>33</v>
      </c>
      <c r="I4" s="9" t="s">
        <v>34</v>
      </c>
      <c r="J4" s="9" t="s">
        <v>35</v>
      </c>
      <c r="K4" s="9" t="s">
        <v>36</v>
      </c>
      <c r="L4" s="9" t="s">
        <v>37</v>
      </c>
      <c r="M4" s="9" t="s">
        <v>38</v>
      </c>
      <c r="N4" s="9" t="s">
        <v>39</v>
      </c>
      <c r="O4" s="9" t="s">
        <v>40</v>
      </c>
      <c r="P4" s="9" t="s">
        <v>41</v>
      </c>
    </row>
    <row r="5" spans="1:16" ht="45" customHeight="1" x14ac:dyDescent="0.35">
      <c r="A5" s="10" t="s">
        <v>42</v>
      </c>
      <c r="B5" s="10" t="s">
        <v>43</v>
      </c>
      <c r="C5" s="10" t="s">
        <v>44</v>
      </c>
      <c r="D5" s="10" t="s">
        <v>45</v>
      </c>
      <c r="E5" s="10">
        <v>2024</v>
      </c>
      <c r="F5" s="10">
        <v>2</v>
      </c>
      <c r="G5" s="10" t="s">
        <v>46</v>
      </c>
      <c r="H5" s="10" t="s">
        <v>47</v>
      </c>
      <c r="I5" s="10" t="s">
        <v>48</v>
      </c>
      <c r="J5" s="10" t="s">
        <v>47</v>
      </c>
      <c r="K5" s="10" t="s">
        <v>49</v>
      </c>
      <c r="L5" s="10" t="s">
        <v>50</v>
      </c>
      <c r="M5" s="10" t="s">
        <v>51</v>
      </c>
      <c r="N5" s="10" t="s">
        <v>52</v>
      </c>
      <c r="O5" s="10" t="s">
        <v>53</v>
      </c>
      <c r="P5" s="10" t="s">
        <v>54</v>
      </c>
    </row>
    <row r="6" spans="1:16" ht="39.75" customHeight="1" x14ac:dyDescent="0.35">
      <c r="A6" s="11">
        <v>1</v>
      </c>
      <c r="B6" s="12" t="s">
        <v>55</v>
      </c>
      <c r="C6" s="12" t="s">
        <v>56</v>
      </c>
      <c r="D6" s="12" t="s">
        <v>57</v>
      </c>
      <c r="E6" s="12">
        <v>2021</v>
      </c>
      <c r="F6" s="12">
        <v>2</v>
      </c>
      <c r="G6" s="12" t="s">
        <v>58</v>
      </c>
      <c r="H6" s="12" t="s">
        <v>59</v>
      </c>
      <c r="I6" s="12" t="s">
        <v>48</v>
      </c>
      <c r="J6" s="12" t="s">
        <v>59</v>
      </c>
      <c r="K6" s="12" t="s">
        <v>60</v>
      </c>
      <c r="L6" s="12" t="s">
        <v>61</v>
      </c>
      <c r="M6" s="12" t="s">
        <v>62</v>
      </c>
      <c r="N6" s="12" t="s">
        <v>63</v>
      </c>
      <c r="O6" s="12" t="s">
        <v>64</v>
      </c>
      <c r="P6" s="12" t="s">
        <v>211</v>
      </c>
    </row>
    <row r="7" spans="1:16" ht="39.75" customHeight="1" x14ac:dyDescent="0.35">
      <c r="A7" s="11">
        <v>2</v>
      </c>
      <c r="B7" s="12" t="s">
        <v>65</v>
      </c>
      <c r="C7" s="12" t="s">
        <v>66</v>
      </c>
      <c r="D7" s="12" t="s">
        <v>67</v>
      </c>
      <c r="E7" s="12">
        <v>2021</v>
      </c>
      <c r="F7" s="12">
        <v>2</v>
      </c>
      <c r="G7" s="12" t="s">
        <v>58</v>
      </c>
      <c r="H7" s="12" t="s">
        <v>59</v>
      </c>
      <c r="I7" s="12" t="s">
        <v>68</v>
      </c>
      <c r="J7" s="12" t="s">
        <v>59</v>
      </c>
      <c r="K7" s="12" t="s">
        <v>69</v>
      </c>
      <c r="L7" s="12" t="s">
        <v>70</v>
      </c>
      <c r="M7" s="12" t="s">
        <v>71</v>
      </c>
      <c r="N7" s="12"/>
      <c r="O7" s="12" t="s">
        <v>72</v>
      </c>
      <c r="P7" s="12" t="s">
        <v>212</v>
      </c>
    </row>
    <row r="8" spans="1:16" ht="39.75" customHeight="1" x14ac:dyDescent="0.35">
      <c r="A8" s="11">
        <v>3</v>
      </c>
      <c r="B8" s="12" t="s">
        <v>73</v>
      </c>
      <c r="C8" s="12" t="s">
        <v>74</v>
      </c>
      <c r="D8" s="12" t="s">
        <v>75</v>
      </c>
      <c r="E8" s="12">
        <v>2022</v>
      </c>
      <c r="F8" s="12">
        <v>2</v>
      </c>
      <c r="G8" s="12" t="s">
        <v>58</v>
      </c>
      <c r="H8" s="12" t="s">
        <v>47</v>
      </c>
      <c r="I8" s="12" t="s">
        <v>68</v>
      </c>
      <c r="J8" s="12" t="s">
        <v>76</v>
      </c>
      <c r="K8" s="12" t="s">
        <v>77</v>
      </c>
      <c r="L8" s="12" t="s">
        <v>78</v>
      </c>
      <c r="M8" s="12" t="s">
        <v>79</v>
      </c>
      <c r="N8" s="12" t="s">
        <v>63</v>
      </c>
      <c r="O8" s="12" t="s">
        <v>80</v>
      </c>
      <c r="P8" s="12" t="s">
        <v>213</v>
      </c>
    </row>
    <row r="9" spans="1:16" ht="39.75" customHeight="1" x14ac:dyDescent="0.35">
      <c r="A9" s="11">
        <v>4</v>
      </c>
      <c r="B9" s="12" t="s">
        <v>81</v>
      </c>
      <c r="C9" s="12" t="s">
        <v>82</v>
      </c>
      <c r="D9" s="12" t="s">
        <v>83</v>
      </c>
      <c r="E9" s="12">
        <v>2022</v>
      </c>
      <c r="F9" s="12">
        <v>3</v>
      </c>
      <c r="G9" s="12" t="s">
        <v>58</v>
      </c>
      <c r="H9" s="12" t="s">
        <v>47</v>
      </c>
      <c r="I9" s="12" t="s">
        <v>48</v>
      </c>
      <c r="J9" s="12" t="s">
        <v>47</v>
      </c>
      <c r="K9" s="12" t="s">
        <v>84</v>
      </c>
      <c r="L9" s="12" t="s">
        <v>85</v>
      </c>
      <c r="M9" s="12" t="s">
        <v>86</v>
      </c>
      <c r="N9" s="12"/>
      <c r="O9" s="12" t="s">
        <v>87</v>
      </c>
      <c r="P9" s="12" t="s">
        <v>214</v>
      </c>
    </row>
    <row r="10" spans="1:16" ht="39.75" customHeight="1" x14ac:dyDescent="0.35">
      <c r="A10" s="11">
        <v>5</v>
      </c>
      <c r="B10" s="12" t="s">
        <v>88</v>
      </c>
      <c r="C10" s="12" t="s">
        <v>89</v>
      </c>
      <c r="D10" s="12" t="s">
        <v>90</v>
      </c>
      <c r="E10" s="12">
        <v>2022</v>
      </c>
      <c r="F10" s="12">
        <v>3</v>
      </c>
      <c r="G10" s="12" t="s">
        <v>58</v>
      </c>
      <c r="H10" s="12" t="s">
        <v>47</v>
      </c>
      <c r="I10" s="12" t="s">
        <v>68</v>
      </c>
      <c r="J10" s="12" t="s">
        <v>59</v>
      </c>
      <c r="K10" s="12" t="s">
        <v>84</v>
      </c>
      <c r="L10" s="12" t="s">
        <v>91</v>
      </c>
      <c r="M10" s="12" t="s">
        <v>92</v>
      </c>
      <c r="N10" s="12" t="s">
        <v>93</v>
      </c>
      <c r="O10" s="12" t="s">
        <v>94</v>
      </c>
      <c r="P10" s="12" t="s">
        <v>214</v>
      </c>
    </row>
    <row r="11" spans="1:16" ht="39.75" customHeight="1" x14ac:dyDescent="0.35">
      <c r="A11" s="11">
        <v>6</v>
      </c>
      <c r="B11" s="12" t="s">
        <v>95</v>
      </c>
      <c r="C11" s="12" t="s">
        <v>96</v>
      </c>
      <c r="D11" s="12" t="s">
        <v>97</v>
      </c>
      <c r="E11" s="12">
        <v>2023</v>
      </c>
      <c r="F11" s="12">
        <v>2</v>
      </c>
      <c r="G11" s="12" t="s">
        <v>58</v>
      </c>
      <c r="H11" s="12" t="s">
        <v>59</v>
      </c>
      <c r="I11" s="12" t="s">
        <v>98</v>
      </c>
      <c r="J11" s="12" t="s">
        <v>76</v>
      </c>
      <c r="K11" s="12" t="s">
        <v>69</v>
      </c>
      <c r="L11" s="12" t="s">
        <v>99</v>
      </c>
      <c r="M11" s="12" t="s">
        <v>100</v>
      </c>
      <c r="N11" s="12" t="s">
        <v>101</v>
      </c>
      <c r="O11" s="12" t="s">
        <v>102</v>
      </c>
      <c r="P11" s="12" t="s">
        <v>211</v>
      </c>
    </row>
    <row r="12" spans="1:16" ht="39.75" customHeight="1" x14ac:dyDescent="0.35">
      <c r="A12" s="11">
        <v>7</v>
      </c>
      <c r="B12" s="12" t="s">
        <v>103</v>
      </c>
      <c r="C12" s="12" t="s">
        <v>104</v>
      </c>
      <c r="D12" s="12" t="s">
        <v>105</v>
      </c>
      <c r="E12" s="12">
        <v>2023</v>
      </c>
      <c r="F12" s="12">
        <v>2</v>
      </c>
      <c r="G12" s="12" t="s">
        <v>58</v>
      </c>
      <c r="H12" s="12" t="s">
        <v>47</v>
      </c>
      <c r="I12" s="12" t="s">
        <v>48</v>
      </c>
      <c r="J12" s="12" t="s">
        <v>47</v>
      </c>
      <c r="K12" s="12" t="s">
        <v>84</v>
      </c>
      <c r="L12" s="12" t="s">
        <v>106</v>
      </c>
      <c r="M12" s="12" t="s">
        <v>107</v>
      </c>
      <c r="N12" s="12"/>
      <c r="O12" s="12" t="s">
        <v>108</v>
      </c>
      <c r="P12" s="12" t="s">
        <v>212</v>
      </c>
    </row>
    <row r="13" spans="1:16" ht="39.75" customHeight="1" x14ac:dyDescent="0.35">
      <c r="A13" s="11">
        <v>8</v>
      </c>
      <c r="B13" s="12" t="s">
        <v>109</v>
      </c>
      <c r="C13" s="12" t="s">
        <v>110</v>
      </c>
      <c r="D13" s="12" t="s">
        <v>111</v>
      </c>
      <c r="E13" s="12">
        <v>2023</v>
      </c>
      <c r="F13" s="12">
        <v>2</v>
      </c>
      <c r="G13" s="12" t="s">
        <v>58</v>
      </c>
      <c r="H13" s="12" t="s">
        <v>47</v>
      </c>
      <c r="I13" s="12" t="s">
        <v>48</v>
      </c>
      <c r="J13" s="12" t="s">
        <v>47</v>
      </c>
      <c r="K13" s="12" t="s">
        <v>112</v>
      </c>
      <c r="L13" s="12" t="s">
        <v>113</v>
      </c>
      <c r="M13" s="12" t="s">
        <v>114</v>
      </c>
      <c r="N13" s="12" t="s">
        <v>115</v>
      </c>
      <c r="O13" s="12" t="s">
        <v>116</v>
      </c>
      <c r="P13" s="12" t="s">
        <v>214</v>
      </c>
    </row>
    <row r="14" spans="1:16" ht="39.75" customHeight="1" x14ac:dyDescent="0.35">
      <c r="A14" s="11">
        <v>9</v>
      </c>
      <c r="B14" s="12" t="s">
        <v>117</v>
      </c>
      <c r="C14" s="12" t="s">
        <v>118</v>
      </c>
      <c r="D14" s="12" t="s">
        <v>119</v>
      </c>
      <c r="E14" s="12">
        <v>2023</v>
      </c>
      <c r="F14" s="12">
        <v>2</v>
      </c>
      <c r="G14" s="12" t="s">
        <v>58</v>
      </c>
      <c r="H14" s="12" t="s">
        <v>47</v>
      </c>
      <c r="I14" s="12" t="s">
        <v>68</v>
      </c>
      <c r="J14" s="12" t="s">
        <v>59</v>
      </c>
      <c r="K14" s="12" t="s">
        <v>60</v>
      </c>
      <c r="L14" s="12" t="s">
        <v>120</v>
      </c>
      <c r="M14" s="12" t="s">
        <v>121</v>
      </c>
      <c r="N14" s="12" t="s">
        <v>122</v>
      </c>
      <c r="O14" s="12" t="s">
        <v>123</v>
      </c>
      <c r="P14" s="12" t="s">
        <v>212</v>
      </c>
    </row>
    <row r="15" spans="1:16" ht="39.75" customHeight="1" x14ac:dyDescent="0.35">
      <c r="A15" s="11">
        <v>10</v>
      </c>
      <c r="B15" s="12" t="s">
        <v>124</v>
      </c>
      <c r="C15" s="12" t="s">
        <v>125</v>
      </c>
      <c r="D15" s="12" t="s">
        <v>126</v>
      </c>
      <c r="E15" s="12">
        <v>2023</v>
      </c>
      <c r="F15" s="12">
        <v>2</v>
      </c>
      <c r="G15" s="12" t="s">
        <v>58</v>
      </c>
      <c r="H15" s="12" t="s">
        <v>47</v>
      </c>
      <c r="I15" s="12" t="s">
        <v>48</v>
      </c>
      <c r="J15" s="12" t="s">
        <v>47</v>
      </c>
      <c r="K15" s="12" t="s">
        <v>84</v>
      </c>
      <c r="L15" s="12" t="s">
        <v>127</v>
      </c>
      <c r="M15" s="12" t="s">
        <v>128</v>
      </c>
      <c r="N15" s="12" t="s">
        <v>63</v>
      </c>
      <c r="O15" s="12" t="s">
        <v>129</v>
      </c>
      <c r="P15" s="12" t="s">
        <v>211</v>
      </c>
    </row>
    <row r="16" spans="1:16" ht="39.75" customHeight="1" x14ac:dyDescent="0.35">
      <c r="A16" s="11">
        <v>11</v>
      </c>
      <c r="B16" s="12" t="s">
        <v>130</v>
      </c>
      <c r="C16" s="12" t="s">
        <v>131</v>
      </c>
      <c r="D16" s="12" t="s">
        <v>132</v>
      </c>
      <c r="E16" s="12">
        <v>2024</v>
      </c>
      <c r="F16" s="12">
        <v>2</v>
      </c>
      <c r="G16" s="12" t="s">
        <v>58</v>
      </c>
      <c r="H16" s="12" t="s">
        <v>47</v>
      </c>
      <c r="I16" s="12" t="s">
        <v>48</v>
      </c>
      <c r="J16" s="12" t="s">
        <v>47</v>
      </c>
      <c r="K16" s="12" t="s">
        <v>133</v>
      </c>
      <c r="L16" s="12" t="s">
        <v>134</v>
      </c>
      <c r="M16" s="12" t="s">
        <v>135</v>
      </c>
      <c r="N16" s="12" t="s">
        <v>136</v>
      </c>
      <c r="O16" s="12" t="s">
        <v>137</v>
      </c>
      <c r="P16" s="12" t="s">
        <v>211</v>
      </c>
    </row>
    <row r="17" spans="1:16" ht="39.75" customHeight="1" x14ac:dyDescent="0.35">
      <c r="A17" s="11">
        <v>12</v>
      </c>
      <c r="B17" s="12" t="s">
        <v>138</v>
      </c>
      <c r="C17" s="12" t="s">
        <v>139</v>
      </c>
      <c r="D17" s="12" t="s">
        <v>140</v>
      </c>
      <c r="E17" s="12">
        <v>2024</v>
      </c>
      <c r="F17" s="12">
        <v>2</v>
      </c>
      <c r="G17" s="12" t="s">
        <v>58</v>
      </c>
      <c r="H17" s="12" t="s">
        <v>47</v>
      </c>
      <c r="I17" s="12" t="s">
        <v>68</v>
      </c>
      <c r="J17" s="12" t="s">
        <v>47</v>
      </c>
      <c r="K17" s="12" t="s">
        <v>141</v>
      </c>
      <c r="L17" s="12" t="s">
        <v>142</v>
      </c>
      <c r="M17" s="12" t="s">
        <v>143</v>
      </c>
      <c r="N17" s="12" t="s">
        <v>144</v>
      </c>
      <c r="O17" s="12" t="s">
        <v>145</v>
      </c>
      <c r="P17" s="12" t="s">
        <v>212</v>
      </c>
    </row>
    <row r="18" spans="1:16" ht="39.75" customHeight="1" x14ac:dyDescent="0.35">
      <c r="A18" s="11">
        <v>13</v>
      </c>
      <c r="B18" s="12" t="s">
        <v>146</v>
      </c>
      <c r="C18" s="12" t="s">
        <v>147</v>
      </c>
      <c r="D18" s="12" t="s">
        <v>148</v>
      </c>
      <c r="E18" s="12">
        <v>2024</v>
      </c>
      <c r="F18" s="12">
        <v>2</v>
      </c>
      <c r="G18" s="12" t="s">
        <v>149</v>
      </c>
      <c r="H18" s="12" t="s">
        <v>47</v>
      </c>
      <c r="I18" s="12" t="s">
        <v>68</v>
      </c>
      <c r="J18" s="12" t="s">
        <v>76</v>
      </c>
      <c r="K18" s="12" t="s">
        <v>150</v>
      </c>
      <c r="L18" s="12" t="s">
        <v>151</v>
      </c>
      <c r="M18" s="12" t="s">
        <v>152</v>
      </c>
      <c r="N18" s="12"/>
      <c r="O18" s="12" t="s">
        <v>153</v>
      </c>
      <c r="P18" s="12" t="s">
        <v>211</v>
      </c>
    </row>
    <row r="19" spans="1:16" ht="39.75" customHeight="1" x14ac:dyDescent="0.35">
      <c r="A19" s="11">
        <v>14</v>
      </c>
      <c r="B19" s="12" t="s">
        <v>154</v>
      </c>
      <c r="C19" s="12" t="s">
        <v>155</v>
      </c>
      <c r="D19" s="12" t="s">
        <v>156</v>
      </c>
      <c r="E19" s="12">
        <v>2024</v>
      </c>
      <c r="F19" s="12">
        <v>2</v>
      </c>
      <c r="G19" s="12" t="s">
        <v>58</v>
      </c>
      <c r="H19" s="12" t="s">
        <v>47</v>
      </c>
      <c r="I19" s="12" t="s">
        <v>48</v>
      </c>
      <c r="J19" s="12" t="s">
        <v>47</v>
      </c>
      <c r="K19" s="12" t="s">
        <v>84</v>
      </c>
      <c r="L19" s="12" t="s">
        <v>157</v>
      </c>
      <c r="M19" s="12" t="s">
        <v>158</v>
      </c>
      <c r="N19" s="12" t="s">
        <v>159</v>
      </c>
      <c r="O19" s="12" t="s">
        <v>160</v>
      </c>
      <c r="P19" s="12" t="s">
        <v>214</v>
      </c>
    </row>
    <row r="20" spans="1:16" ht="39.75" customHeight="1" x14ac:dyDescent="0.35">
      <c r="A20" s="11">
        <v>15</v>
      </c>
      <c r="B20" s="12" t="s">
        <v>161</v>
      </c>
      <c r="C20" s="12" t="s">
        <v>162</v>
      </c>
      <c r="D20" s="12" t="s">
        <v>163</v>
      </c>
      <c r="E20" s="12">
        <v>2024</v>
      </c>
      <c r="F20" s="12">
        <v>2</v>
      </c>
      <c r="G20" s="12" t="s">
        <v>58</v>
      </c>
      <c r="H20" s="12" t="s">
        <v>47</v>
      </c>
      <c r="I20" s="12" t="s">
        <v>48</v>
      </c>
      <c r="J20" s="12" t="s">
        <v>47</v>
      </c>
      <c r="K20" s="12" t="s">
        <v>164</v>
      </c>
      <c r="L20" s="12" t="s">
        <v>165</v>
      </c>
      <c r="M20" s="12" t="s">
        <v>166</v>
      </c>
      <c r="N20" s="12"/>
      <c r="O20" s="12" t="s">
        <v>167</v>
      </c>
      <c r="P20" s="12" t="s">
        <v>214</v>
      </c>
    </row>
    <row r="21" spans="1:16" ht="39.75" customHeight="1" x14ac:dyDescent="0.35">
      <c r="A21" s="11">
        <v>16</v>
      </c>
      <c r="B21" s="12" t="s">
        <v>168</v>
      </c>
      <c r="C21" s="12" t="s">
        <v>169</v>
      </c>
      <c r="D21" s="12" t="s">
        <v>170</v>
      </c>
      <c r="E21" s="12">
        <v>2025</v>
      </c>
      <c r="F21" s="12">
        <v>2</v>
      </c>
      <c r="G21" s="12" t="s">
        <v>46</v>
      </c>
      <c r="H21" s="12" t="s">
        <v>47</v>
      </c>
      <c r="I21" s="12" t="s">
        <v>48</v>
      </c>
      <c r="J21" s="12" t="s">
        <v>47</v>
      </c>
      <c r="K21" s="12" t="s">
        <v>171</v>
      </c>
      <c r="L21" s="12" t="s">
        <v>172</v>
      </c>
      <c r="M21" s="12" t="s">
        <v>173</v>
      </c>
      <c r="N21" s="12" t="s">
        <v>63</v>
      </c>
      <c r="O21" s="12" t="s">
        <v>174</v>
      </c>
      <c r="P21" s="12" t="s">
        <v>212</v>
      </c>
    </row>
    <row r="22" spans="1:16" ht="39.75" customHeight="1" x14ac:dyDescent="0.35">
      <c r="A22" s="11">
        <v>17</v>
      </c>
      <c r="B22" s="12" t="s">
        <v>175</v>
      </c>
      <c r="C22" s="12" t="s">
        <v>176</v>
      </c>
      <c r="D22" s="12" t="s">
        <v>177</v>
      </c>
      <c r="E22" s="12">
        <v>2025</v>
      </c>
      <c r="F22" s="12">
        <v>2</v>
      </c>
      <c r="G22" s="12" t="s">
        <v>58</v>
      </c>
      <c r="H22" s="12" t="s">
        <v>59</v>
      </c>
      <c r="I22" s="12" t="s">
        <v>98</v>
      </c>
      <c r="J22" s="12" t="s">
        <v>76</v>
      </c>
      <c r="K22" s="12" t="s">
        <v>178</v>
      </c>
      <c r="L22" s="12" t="s">
        <v>179</v>
      </c>
      <c r="M22" s="12" t="s">
        <v>180</v>
      </c>
      <c r="N22" s="12"/>
      <c r="O22" s="12" t="s">
        <v>181</v>
      </c>
      <c r="P22" s="12" t="s">
        <v>212</v>
      </c>
    </row>
    <row r="23" spans="1:16" ht="39.75" customHeight="1" x14ac:dyDescent="0.35">
      <c r="A23" s="11">
        <v>18</v>
      </c>
      <c r="B23" s="12" t="s">
        <v>182</v>
      </c>
      <c r="C23" s="12" t="s">
        <v>183</v>
      </c>
      <c r="D23" s="12" t="s">
        <v>184</v>
      </c>
      <c r="E23" s="12">
        <v>2025</v>
      </c>
      <c r="F23" s="12">
        <v>2</v>
      </c>
      <c r="G23" s="12" t="s">
        <v>58</v>
      </c>
      <c r="H23" s="12" t="s">
        <v>59</v>
      </c>
      <c r="I23" s="12" t="s">
        <v>48</v>
      </c>
      <c r="J23" s="12" t="s">
        <v>59</v>
      </c>
      <c r="K23" s="12" t="s">
        <v>185</v>
      </c>
      <c r="L23" s="12" t="s">
        <v>186</v>
      </c>
      <c r="M23" s="12" t="s">
        <v>187</v>
      </c>
      <c r="N23" s="12"/>
      <c r="O23" s="12" t="s">
        <v>188</v>
      </c>
      <c r="P23" s="12" t="s">
        <v>211</v>
      </c>
    </row>
    <row r="24" spans="1:16" ht="39.75" customHeight="1" x14ac:dyDescent="0.35">
      <c r="A24" s="11">
        <v>19</v>
      </c>
      <c r="B24" s="12" t="s">
        <v>189</v>
      </c>
      <c r="C24" s="12" t="s">
        <v>190</v>
      </c>
      <c r="D24" s="12" t="s">
        <v>191</v>
      </c>
      <c r="E24" s="12">
        <v>2026</v>
      </c>
      <c r="F24" s="12">
        <v>2</v>
      </c>
      <c r="G24" s="12" t="s">
        <v>58</v>
      </c>
      <c r="H24" s="12" t="s">
        <v>47</v>
      </c>
      <c r="I24" s="12" t="s">
        <v>98</v>
      </c>
      <c r="J24" s="12" t="s">
        <v>76</v>
      </c>
      <c r="K24" s="12" t="s">
        <v>192</v>
      </c>
      <c r="L24" s="12" t="s">
        <v>193</v>
      </c>
      <c r="M24" s="12" t="s">
        <v>194</v>
      </c>
      <c r="N24" s="12"/>
      <c r="O24" s="12" t="s">
        <v>195</v>
      </c>
      <c r="P24" s="12" t="s">
        <v>214</v>
      </c>
    </row>
    <row r="25" spans="1:16" ht="39.75" customHeight="1" x14ac:dyDescent="0.35">
      <c r="A25" s="11">
        <v>20</v>
      </c>
      <c r="B25" s="12" t="s">
        <v>196</v>
      </c>
      <c r="C25" s="12" t="s">
        <v>197</v>
      </c>
      <c r="D25" s="12" t="s">
        <v>198</v>
      </c>
      <c r="E25" s="12">
        <v>2026</v>
      </c>
      <c r="F25" s="12">
        <v>2</v>
      </c>
      <c r="G25" s="12" t="s">
        <v>46</v>
      </c>
      <c r="H25" s="12" t="s">
        <v>47</v>
      </c>
      <c r="I25" s="12" t="s">
        <v>48</v>
      </c>
      <c r="J25" s="12" t="s">
        <v>47</v>
      </c>
      <c r="K25" s="12" t="s">
        <v>199</v>
      </c>
      <c r="L25" s="12" t="s">
        <v>200</v>
      </c>
      <c r="M25" s="12" t="s">
        <v>201</v>
      </c>
      <c r="N25" s="12" t="s">
        <v>63</v>
      </c>
      <c r="O25" s="12" t="s">
        <v>202</v>
      </c>
      <c r="P25" s="12" t="s">
        <v>211</v>
      </c>
    </row>
  </sheetData>
  <dataValidations count="1">
    <dataValidation type="whole" showErrorMessage="1" errorTitle="Year" error="Enter a year between 2021 and 2026 as a number." sqref="E6:E25" xr:uid="{00000000-0002-0000-0200-000000000000}">
      <formula1>2021</formula1>
      <formula2>2026</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4">
        <x14:dataValidation type="list" allowBlank="1" showErrorMessage="1" errorTitle="Pick from the list" error="Choose one of the listed values (see Vocabularies sheet)." xr:uid="{00000000-0002-0000-0200-000001000000}">
          <x14:formula1>
            <xm:f>Vocabularies!$A$3:$A$7</xm:f>
          </x14:formula1>
          <x14:formula2>
            <xm:f>0</xm:f>
          </x14:formula2>
          <xm:sqref>G6:G25</xm:sqref>
        </x14:dataValidation>
        <x14:dataValidation type="list" allowBlank="1" showErrorMessage="1" errorTitle="Pick from the list" error="Choose one of the listed values (see Vocabularies sheet)." xr:uid="{00000000-0002-0000-0200-000002000000}">
          <x14:formula1>
            <xm:f>Vocabularies!$B$3:$B$7</xm:f>
          </x14:formula1>
          <x14:formula2>
            <xm:f>0</xm:f>
          </x14:formula2>
          <xm:sqref>H6:H25</xm:sqref>
        </x14:dataValidation>
        <x14:dataValidation type="list" allowBlank="1" showErrorMessage="1" errorTitle="Pick from the list" error="Choose one of the listed values (see Vocabularies sheet)." xr:uid="{00000000-0002-0000-0200-000003000000}">
          <x14:formula1>
            <xm:f>Vocabularies!$C$3:$C$6</xm:f>
          </x14:formula1>
          <x14:formula2>
            <xm:f>0</xm:f>
          </x14:formula2>
          <xm:sqref>I6:I25</xm:sqref>
        </x14:dataValidation>
        <x14:dataValidation type="list" allowBlank="1" showErrorMessage="1" errorTitle="Pick from the list" error="Choose one of the listed values (see Vocabularies sheet)." xr:uid="{00000000-0002-0000-0200-000004000000}">
          <x14:formula1>
            <xm:f>Vocabularies!$D$3:$D$7</xm:f>
          </x14:formula1>
          <x14:formula2>
            <xm:f>0</xm:f>
          </x14:formula2>
          <xm:sqref>J6:J25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7"/>
  <sheetViews>
    <sheetView zoomScaleNormal="100" workbookViewId="0">
      <selection activeCell="B26" sqref="B26"/>
    </sheetView>
  </sheetViews>
  <sheetFormatPr defaultColWidth="8.81640625" defaultRowHeight="14.5" x14ac:dyDescent="0.35"/>
  <cols>
    <col min="1" max="1" width="26" customWidth="1"/>
    <col min="2" max="2" width="12" customWidth="1"/>
  </cols>
  <sheetData>
    <row r="1" spans="1:2" ht="15.75" customHeight="1" x14ac:dyDescent="0.35">
      <c r="A1" s="13" t="s">
        <v>203</v>
      </c>
    </row>
    <row r="2" spans="1:2" ht="15" customHeight="1" x14ac:dyDescent="0.35">
      <c r="A2" s="8" t="s">
        <v>204</v>
      </c>
    </row>
    <row r="4" spans="1:2" ht="15" customHeight="1" x14ac:dyDescent="0.35">
      <c r="A4" s="14" t="s">
        <v>30</v>
      </c>
      <c r="B4" s="14" t="s">
        <v>205</v>
      </c>
    </row>
    <row r="5" spans="1:2" ht="15" customHeight="1" x14ac:dyDescent="0.35">
      <c r="A5" s="11">
        <v>2021</v>
      </c>
      <c r="B5" s="11">
        <f>COUNTIF(Data!E$6:E$25,A5)</f>
        <v>2</v>
      </c>
    </row>
    <row r="6" spans="1:2" ht="15" customHeight="1" x14ac:dyDescent="0.35">
      <c r="A6" s="11">
        <v>2022</v>
      </c>
      <c r="B6" s="11">
        <f>COUNTIF(Data!E$6:E$25,A6)</f>
        <v>3</v>
      </c>
    </row>
    <row r="7" spans="1:2" ht="15" customHeight="1" x14ac:dyDescent="0.35">
      <c r="A7" s="11">
        <v>2023</v>
      </c>
      <c r="B7" s="11">
        <f>COUNTIF(Data!E$6:E$25,A7)</f>
        <v>5</v>
      </c>
    </row>
    <row r="8" spans="1:2" ht="15" customHeight="1" x14ac:dyDescent="0.35">
      <c r="A8" s="11">
        <v>2024</v>
      </c>
      <c r="B8" s="11">
        <f>COUNTIF(Data!E$6:E$25,A8)</f>
        <v>5</v>
      </c>
    </row>
    <row r="9" spans="1:2" ht="15" customHeight="1" x14ac:dyDescent="0.35">
      <c r="A9" s="11">
        <v>2025</v>
      </c>
      <c r="B9" s="11">
        <f>COUNTIF(Data!E$6:E$25,A9)</f>
        <v>3</v>
      </c>
    </row>
    <row r="10" spans="1:2" ht="15" customHeight="1" x14ac:dyDescent="0.35">
      <c r="A10" s="11">
        <v>2026</v>
      </c>
      <c r="B10" s="11">
        <f>COUNTIF(Data!E$6:E$25,A10)</f>
        <v>2</v>
      </c>
    </row>
    <row r="12" spans="1:2" ht="15" customHeight="1" x14ac:dyDescent="0.35">
      <c r="A12" s="14" t="s">
        <v>34</v>
      </c>
      <c r="B12" s="14" t="s">
        <v>205</v>
      </c>
    </row>
    <row r="13" spans="1:2" ht="15" customHeight="1" x14ac:dyDescent="0.35">
      <c r="A13" s="11" t="s">
        <v>48</v>
      </c>
      <c r="B13" s="11">
        <f>COUNTIF(Data!I$6:I$25,A13)</f>
        <v>11</v>
      </c>
    </row>
    <row r="14" spans="1:2" ht="15" customHeight="1" x14ac:dyDescent="0.35">
      <c r="A14" s="11" t="s">
        <v>68</v>
      </c>
      <c r="B14" s="11">
        <f>COUNTIF(Data!I$6:I$25,A14)</f>
        <v>6</v>
      </c>
    </row>
    <row r="15" spans="1:2" ht="15" customHeight="1" x14ac:dyDescent="0.35">
      <c r="A15" s="11" t="s">
        <v>98</v>
      </c>
      <c r="B15" s="11">
        <f>COUNTIF(Data!I$6:I$25,A15)</f>
        <v>3</v>
      </c>
    </row>
    <row r="16" spans="1:2" ht="15" customHeight="1" x14ac:dyDescent="0.35">
      <c r="A16" s="11" t="s">
        <v>206</v>
      </c>
      <c r="B16" s="11">
        <f>COUNTIF(Data!I$6:I$25,A16)</f>
        <v>0</v>
      </c>
    </row>
    <row r="18" spans="1:2" ht="15" customHeight="1" x14ac:dyDescent="0.35">
      <c r="A18" s="14" t="s">
        <v>33</v>
      </c>
      <c r="B18" s="14" t="s">
        <v>205</v>
      </c>
    </row>
    <row r="19" spans="1:2" ht="15" customHeight="1" x14ac:dyDescent="0.35">
      <c r="A19" s="11" t="s">
        <v>47</v>
      </c>
      <c r="B19" s="11">
        <f>COUNTIF(Data!H$6:H$25,A19)</f>
        <v>15</v>
      </c>
    </row>
    <row r="20" spans="1:2" ht="15" customHeight="1" x14ac:dyDescent="0.35">
      <c r="A20" s="11" t="s">
        <v>59</v>
      </c>
      <c r="B20" s="11">
        <f>COUNTIF(Data!H$6:H$25,A20)</f>
        <v>5</v>
      </c>
    </row>
    <row r="21" spans="1:2" ht="15" customHeight="1" x14ac:dyDescent="0.35">
      <c r="A21" s="11" t="s">
        <v>207</v>
      </c>
      <c r="B21" s="11">
        <f>COUNTIF(Data!H$6:H$25,A21)</f>
        <v>0</v>
      </c>
    </row>
    <row r="22" spans="1:2" ht="15" customHeight="1" x14ac:dyDescent="0.35">
      <c r="A22" s="11" t="s">
        <v>208</v>
      </c>
      <c r="B22" s="11">
        <f>COUNTIF(Data!H$6:H$25,A22)</f>
        <v>0</v>
      </c>
    </row>
    <row r="23" spans="1:2" ht="15" customHeight="1" x14ac:dyDescent="0.35">
      <c r="A23" s="11" t="s">
        <v>206</v>
      </c>
      <c r="B23" s="11">
        <f>COUNTIF(Data!H$6:H$25,A23)</f>
        <v>0</v>
      </c>
    </row>
    <row r="25" spans="1:2" ht="15" customHeight="1" x14ac:dyDescent="0.35">
      <c r="A25" s="14" t="s">
        <v>35</v>
      </c>
      <c r="B25" s="14" t="s">
        <v>205</v>
      </c>
    </row>
    <row r="26" spans="1:2" ht="15" customHeight="1" x14ac:dyDescent="0.35">
      <c r="A26" s="11" t="s">
        <v>47</v>
      </c>
      <c r="B26" s="11">
        <f>COUNTIF(Data!J$6:J$25,A26)</f>
        <v>10</v>
      </c>
    </row>
    <row r="27" spans="1:2" ht="15" customHeight="1" x14ac:dyDescent="0.35">
      <c r="A27" s="11" t="s">
        <v>59</v>
      </c>
      <c r="B27" s="11">
        <f>COUNTIF(Data!J$6:J$25,A27)</f>
        <v>5</v>
      </c>
    </row>
    <row r="28" spans="1:2" ht="15" customHeight="1" x14ac:dyDescent="0.35">
      <c r="A28" s="11" t="s">
        <v>207</v>
      </c>
      <c r="B28" s="11">
        <f>COUNTIF(Data!J$6:J$25,A28)</f>
        <v>0</v>
      </c>
    </row>
    <row r="29" spans="1:2" ht="15" customHeight="1" x14ac:dyDescent="0.35">
      <c r="A29" s="11" t="s">
        <v>208</v>
      </c>
      <c r="B29" s="11">
        <f>COUNTIF(Data!J$6:J$25,A29)</f>
        <v>0</v>
      </c>
    </row>
    <row r="30" spans="1:2" ht="15" customHeight="1" x14ac:dyDescent="0.35">
      <c r="A30" s="11" t="s">
        <v>76</v>
      </c>
      <c r="B30" s="11">
        <f>COUNTIF(Data!J$6:J$25,A30)</f>
        <v>5</v>
      </c>
    </row>
    <row r="32" spans="1:2" ht="15" customHeight="1" x14ac:dyDescent="0.35">
      <c r="A32" s="14" t="s">
        <v>32</v>
      </c>
      <c r="B32" s="14" t="s">
        <v>205</v>
      </c>
    </row>
    <row r="33" spans="1:2" ht="15" customHeight="1" x14ac:dyDescent="0.35">
      <c r="A33" s="11" t="s">
        <v>209</v>
      </c>
      <c r="B33" s="11">
        <f>COUNTIF(Data!G$6:G$25,A33)</f>
        <v>0</v>
      </c>
    </row>
    <row r="34" spans="1:2" ht="15" customHeight="1" x14ac:dyDescent="0.35">
      <c r="A34" s="11" t="s">
        <v>58</v>
      </c>
      <c r="B34" s="11">
        <f>COUNTIF(Data!G$6:G$25,A34)</f>
        <v>17</v>
      </c>
    </row>
    <row r="35" spans="1:2" ht="15" customHeight="1" x14ac:dyDescent="0.35">
      <c r="A35" s="11" t="s">
        <v>46</v>
      </c>
      <c r="B35" s="11">
        <f>COUNTIF(Data!G$6:G$25,A35)</f>
        <v>2</v>
      </c>
    </row>
    <row r="36" spans="1:2" ht="15" customHeight="1" x14ac:dyDescent="0.35">
      <c r="A36" s="11" t="s">
        <v>149</v>
      </c>
      <c r="B36" s="11">
        <f>COUNTIF(Data!G$6:G$25,A36)</f>
        <v>1</v>
      </c>
    </row>
    <row r="37" spans="1:2" ht="15" customHeight="1" x14ac:dyDescent="0.35">
      <c r="A37" s="11" t="s">
        <v>206</v>
      </c>
      <c r="B37" s="11">
        <f>COUNTIF(Data!G$6:G$25,A37)</f>
        <v>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zoomScaleNormal="100" workbookViewId="0">
      <selection activeCell="B12" sqref="B12"/>
    </sheetView>
  </sheetViews>
  <sheetFormatPr defaultColWidth="8.81640625" defaultRowHeight="14.5" x14ac:dyDescent="0.35"/>
  <cols>
    <col min="1" max="4" width="26" customWidth="1"/>
  </cols>
  <sheetData>
    <row r="1" spans="1:4" ht="15.75" customHeight="1" x14ac:dyDescent="0.35">
      <c r="A1" s="13" t="s">
        <v>210</v>
      </c>
    </row>
    <row r="2" spans="1:4" ht="15" customHeight="1" x14ac:dyDescent="0.35">
      <c r="A2" s="14" t="s">
        <v>32</v>
      </c>
      <c r="B2" s="14" t="s">
        <v>33</v>
      </c>
      <c r="C2" s="14" t="s">
        <v>34</v>
      </c>
      <c r="D2" s="14" t="s">
        <v>35</v>
      </c>
    </row>
    <row r="3" spans="1:4" ht="15" customHeight="1" x14ac:dyDescent="0.35">
      <c r="A3" s="11" t="s">
        <v>209</v>
      </c>
      <c r="B3" s="11" t="s">
        <v>47</v>
      </c>
      <c r="C3" s="11" t="s">
        <v>48</v>
      </c>
      <c r="D3" s="11" t="s">
        <v>47</v>
      </c>
    </row>
    <row r="4" spans="1:4" ht="15" customHeight="1" x14ac:dyDescent="0.35">
      <c r="A4" s="11" t="s">
        <v>58</v>
      </c>
      <c r="B4" s="11" t="s">
        <v>59</v>
      </c>
      <c r="C4" s="11" t="s">
        <v>68</v>
      </c>
      <c r="D4" s="11" t="s">
        <v>59</v>
      </c>
    </row>
    <row r="5" spans="1:4" ht="15" customHeight="1" x14ac:dyDescent="0.35">
      <c r="A5" s="11" t="s">
        <v>46</v>
      </c>
      <c r="B5" s="11" t="s">
        <v>207</v>
      </c>
      <c r="C5" s="11" t="s">
        <v>98</v>
      </c>
      <c r="D5" s="11" t="s">
        <v>207</v>
      </c>
    </row>
    <row r="6" spans="1:4" ht="15" customHeight="1" x14ac:dyDescent="0.35">
      <c r="A6" s="11" t="s">
        <v>149</v>
      </c>
      <c r="B6" s="11" t="s">
        <v>208</v>
      </c>
      <c r="C6" s="11" t="s">
        <v>206</v>
      </c>
      <c r="D6" s="11" t="s">
        <v>208</v>
      </c>
    </row>
    <row r="7" spans="1:4" ht="15" customHeight="1" x14ac:dyDescent="0.35">
      <c r="A7" s="11" t="s">
        <v>206</v>
      </c>
      <c r="B7" s="11" t="s">
        <v>206</v>
      </c>
      <c r="D7" s="11" t="s">
        <v>76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Team</vt:lpstr>
      <vt:lpstr>Data</vt:lpstr>
      <vt:lpstr>Chart counts</vt:lpstr>
      <vt:lpstr>Vocabularies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Pragna Mattela</cp:lastModifiedBy>
  <cp:revision>0</cp:revision>
  <dcterms:created xsi:type="dcterms:W3CDTF">2026-09-16T11:13:46Z</dcterms:created>
  <dcterms:modified xsi:type="dcterms:W3CDTF">2026-10-30T09:32:23Z</dcterms:modified>
  <dc:language>en-US</dc:language>
</cp:coreProperties>
</file>